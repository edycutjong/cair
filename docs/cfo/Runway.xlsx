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sh &amp; runway summary" sheetId="1" r:id="rId1"/>
    <sheet name="Cash projection" sheetId="2" r:id="rId2"/>
    <sheet name="Model inpu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.00;(&quot;$&quot;#,##0.00)"/>
    <numFmt numFmtId="165" formatCode="#,##0.0;(#,##0.0)"/>
    <numFmt numFmtId="166" formatCode="#,##0.###;(#,##0.###)"/>
    <numFmt numFmtId="167" formatCode="&quot;$&quot;#,##0.0000;(&quot;$&quot;#,##0.0000)"/>
    <numFmt numFmtId="168" formatCode="#,##0;(#,##0)"/>
    <numFmt numFmtId="169" formatCode="0.0%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7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Cash &amp; runway summary</t>
        </is>
      </c>
    </row>
    <row r="2" ht="20" customHeight="1">
      <c r="A2" t="inlineStr" s="2">
        <is>
          <t xml:space="preserve">Runway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Starting cash</t>
        </is>
      </c>
      <c r="B5" s="6">
        <f>0</f>
        <v>0</v>
      </c>
    </row>
    <row r="6">
      <c r="A6" t="inlineStr" s="7">
        <is>
          <t xml:space="preserve">Starting AWS credit</t>
        </is>
      </c>
      <c r="B6" s="8">
        <f>25</f>
        <v>25</v>
      </c>
    </row>
    <row r="7">
      <c r="A7" t="inlineStr" s="7">
        <is>
          <t xml:space="preserve">Steady-state monthly profit</t>
        </is>
      </c>
      <c r="B7" s="8">
        <f>'Model inputs'!O19-'Model inputs'!O9</f>
        <v>81.113</v>
      </c>
    </row>
    <row r="8">
      <c r="A8" t="inlineStr" s="7">
        <is>
          <t xml:space="preserve">Pre-revenue monthly burn</t>
        </is>
      </c>
      <c r="B8" s="8">
        <f>'Model inputs'!O9-'Model inputs'!O13</f>
        <v>18.557</v>
      </c>
    </row>
    <row r="9">
      <c r="A9" t="inlineStr" s="7">
        <is>
          <t xml:space="preserve">Pre-revenue runway (months)</t>
        </is>
      </c>
      <c r="B9" s="9">
        <f>IFERROR(('Cash &amp; runway summary'!B5+'Cash &amp; runway summary'!B6)/'Cash &amp; runway summary'!B8,"")</f>
        <v>1.3472005173249988</v>
      </c>
    </row>
    <row r="10">
      <c r="A10" t="inlineStr" s="7">
        <is>
          <t xml:space="preserve">Runway (months)</t>
        </is>
      </c>
      <c r="B10" t="str" s="9">
        <f>IF(IF(IF(ISERROR('Cash &amp; runway summary'!B7&gt;=0),'Cash &amp; runway summary'!B7&gt;=0,IF('Cash &amp; runway summary'!B7="","",'Cash &amp; runway summary'!B7&gt;=0))="",FALSE,IF(ISERROR('Cash &amp; runway summary'!B7&gt;=0),'Cash &amp; runway summary'!B7&gt;=0,IF('Cash &amp; runway summary'!B7="","",'Cash &amp; runway summary'!B7&gt;=0))),"",('Cash &amp; runway summary'!B5+'Cash &amp; runway summary'!B6)/(0-'Cash &amp; runway summary'!B7))</f>
        <v/>
      </c>
    </row>
    <row r="11">
      <c r="A11" t="inlineStr" s="5">
        <is>
          <t xml:space="preserve">Runway status</t>
        </is>
      </c>
      <c r="B11" t="str" s="10">
        <f>IF(IF(IF(ISERROR('Cash &amp; runway summary'!B7&gt;=0),'Cash &amp; runway summary'!B7&gt;=0,IF('Cash &amp; runway summary'!B7="","",'Cash &amp; runway summary'!B7&gt;=0))="",FALSE,IF(ISERROR('Cash &amp; runway summary'!B7&gt;=0),'Cash &amp; runway summary'!B7&gt;=0,IF('Cash &amp; runway summary'!B7="","",'Cash &amp; runway summary'!B7&gt;=0))),"Cash-flow positive: runway not limited by cash","Burning cash: see Runway (months)")</f>
        <v>Cash-flow positive: runway not limited by cash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M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Cash projection</t>
        </is>
      </c>
    </row>
    <row r="2" ht="20" customHeight="1">
      <c r="A2" t="inlineStr" s="2">
        <is>
          <t xml:space="preserve">Runway · Main Scenario</t>
        </is>
      </c>
    </row>
    <row r="4" ht="22" customHeight="1">
      <c r="A4" t="inlineStr" s="3">
        <is>
          <t xml:space="preserve">Variable / dimension</t>
        </is>
      </c>
      <c r="B4" t="inlineStr" s="11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1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1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1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Operating profit</t>
        </is>
      </c>
      <c r="B5" s="6">
        <f>'Model inputs'!C10-'Model inputs'!C18</f>
        <v>81.113</v>
      </c>
      <c r="C5" s="6">
        <f>'Model inputs'!D10-'Model inputs'!D18</f>
        <v>81.113</v>
      </c>
      <c r="D5" s="6">
        <f>'Model inputs'!E10-'Model inputs'!E18</f>
        <v>81.113</v>
      </c>
      <c r="E5" s="6">
        <f>'Model inputs'!F10-'Model inputs'!F18</f>
        <v>81.113</v>
      </c>
      <c r="F5" s="6">
        <f>'Model inputs'!G10-'Model inputs'!G18</f>
        <v>81.113</v>
      </c>
      <c r="G5" s="6">
        <f>'Model inputs'!H10-'Model inputs'!H18</f>
        <v>81.113</v>
      </c>
      <c r="H5" s="6">
        <f>'Model inputs'!I10-'Model inputs'!I18</f>
        <v>81.113</v>
      </c>
      <c r="I5" s="6">
        <f>'Model inputs'!J10-'Model inputs'!J18</f>
        <v>81.113</v>
      </c>
      <c r="J5" s="6">
        <f>'Model inputs'!K10-'Model inputs'!K18</f>
        <v>81.113</v>
      </c>
      <c r="K5" s="6">
        <f>'Model inputs'!L10-'Model inputs'!L18</f>
        <v>81.113</v>
      </c>
      <c r="L5" s="6">
        <f>'Model inputs'!M10-'Model inputs'!M18</f>
        <v>81.113</v>
      </c>
      <c r="M5" s="6">
        <f>'Model inputs'!N10-'Model inputs'!N18</f>
        <v>81.113</v>
      </c>
    </row>
    <row r="6">
      <c r="A6" t="inlineStr" s="7">
        <is>
          <t xml:space="preserve">AWS credit used</t>
        </is>
      </c>
      <c r="B6" s="8">
        <f>MIN('Model inputs'!B6,'Model inputs'!C11)</f>
        <v>15.257</v>
      </c>
      <c r="C6" s="8">
        <f>MIN('Cash projection'!B7,'Model inputs'!D11)</f>
        <v>9.743</v>
      </c>
      <c r="D6" s="8">
        <f>MIN('Cash projection'!C7,'Model inputs'!E11)</f>
        <v>0</v>
      </c>
      <c r="E6" s="8">
        <f>MIN('Cash projection'!D7,'Model inputs'!F11)</f>
        <v>0</v>
      </c>
      <c r="F6" s="8">
        <f>MIN('Cash projection'!E7,'Model inputs'!G11)</f>
        <v>0</v>
      </c>
      <c r="G6" s="8">
        <f>MIN('Cash projection'!F7,'Model inputs'!H11)</f>
        <v>0</v>
      </c>
      <c r="H6" s="8">
        <f>MIN('Cash projection'!G7,'Model inputs'!I11)</f>
        <v>0</v>
      </c>
      <c r="I6" s="8">
        <f>MIN('Cash projection'!H7,'Model inputs'!J11)</f>
        <v>0</v>
      </c>
      <c r="J6" s="8">
        <f>MIN('Cash projection'!I7,'Model inputs'!K11)</f>
        <v>0</v>
      </c>
      <c r="K6" s="8">
        <f>MIN('Cash projection'!J7,'Model inputs'!L11)</f>
        <v>0</v>
      </c>
      <c r="L6" s="8">
        <f>MIN('Cash projection'!K7,'Model inputs'!M11)</f>
        <v>0</v>
      </c>
      <c r="M6" s="8">
        <f>MIN('Cash projection'!L7,'Model inputs'!N11)</f>
        <v>0</v>
      </c>
    </row>
    <row r="7">
      <c r="A7" t="inlineStr" s="7">
        <is>
          <t xml:space="preserve">AWS credit remaining</t>
        </is>
      </c>
      <c r="B7" s="8">
        <f>'Model inputs'!B6-'Cash projection'!B6</f>
        <v>9.743</v>
      </c>
      <c r="C7" s="8">
        <f>'Cash projection'!B7-'Cash projection'!C6</f>
        <v>0</v>
      </c>
      <c r="D7" s="8">
        <f>'Cash projection'!C7-'Cash projection'!D6</f>
        <v>0</v>
      </c>
      <c r="E7" s="8">
        <f>'Cash projection'!D7-'Cash projection'!E6</f>
        <v>0</v>
      </c>
      <c r="F7" s="8">
        <f>'Cash projection'!E7-'Cash projection'!F6</f>
        <v>0</v>
      </c>
      <c r="G7" s="8">
        <f>'Cash projection'!F7-'Cash projection'!G6</f>
        <v>0</v>
      </c>
      <c r="H7" s="8">
        <f>'Cash projection'!G7-'Cash projection'!H6</f>
        <v>0</v>
      </c>
      <c r="I7" s="8">
        <f>'Cash projection'!H7-'Cash projection'!I6</f>
        <v>0</v>
      </c>
      <c r="J7" s="8">
        <f>'Cash projection'!I7-'Cash projection'!J6</f>
        <v>0</v>
      </c>
      <c r="K7" s="8">
        <f>'Cash projection'!J7-'Cash projection'!K6</f>
        <v>0</v>
      </c>
      <c r="L7" s="8">
        <f>'Cash projection'!K7-'Cash projection'!L6</f>
        <v>0</v>
      </c>
      <c r="M7" s="8">
        <f>'Cash projection'!L7-'Cash projection'!M6</f>
        <v>0</v>
      </c>
    </row>
    <row r="8">
      <c r="A8" t="inlineStr" s="7">
        <is>
          <t xml:space="preserve">Net cash flow</t>
        </is>
      </c>
      <c r="B8" s="8">
        <f>'Cash projection'!B5+'Cash projection'!B6</f>
        <v>96.37</v>
      </c>
      <c r="C8" s="8">
        <f>'Cash projection'!C5+'Cash projection'!C6</f>
        <v>90.856</v>
      </c>
      <c r="D8" s="8">
        <f>'Cash projection'!D5+'Cash projection'!D6</f>
        <v>81.113</v>
      </c>
      <c r="E8" s="8">
        <f>'Cash projection'!E5+'Cash projection'!E6</f>
        <v>81.113</v>
      </c>
      <c r="F8" s="8">
        <f>'Cash projection'!F5+'Cash projection'!F6</f>
        <v>81.113</v>
      </c>
      <c r="G8" s="8">
        <f>'Cash projection'!G5+'Cash projection'!G6</f>
        <v>81.113</v>
      </c>
      <c r="H8" s="8">
        <f>'Cash projection'!H5+'Cash projection'!H6</f>
        <v>81.113</v>
      </c>
      <c r="I8" s="8">
        <f>'Cash projection'!I5+'Cash projection'!I6</f>
        <v>81.113</v>
      </c>
      <c r="J8" s="8">
        <f>'Cash projection'!J5+'Cash projection'!J6</f>
        <v>81.113</v>
      </c>
      <c r="K8" s="8">
        <f>'Cash projection'!K5+'Cash projection'!K6</f>
        <v>81.113</v>
      </c>
      <c r="L8" s="8">
        <f>'Cash projection'!L5+'Cash projection'!L6</f>
        <v>81.113</v>
      </c>
      <c r="M8" s="8">
        <f>'Cash projection'!M5+'Cash projection'!M6</f>
        <v>81.113</v>
      </c>
    </row>
    <row r="9">
      <c r="A9" t="inlineStr" s="5">
        <is>
          <t xml:space="preserve">Cash balance</t>
        </is>
      </c>
      <c r="B9" s="6">
        <f>'Model inputs'!B8+'Cash projection'!B8</f>
        <v>96.37</v>
      </c>
      <c r="C9" s="6">
        <f>'Cash projection'!B9+'Cash projection'!C8</f>
        <v>187.226</v>
      </c>
      <c r="D9" s="6">
        <f>'Cash projection'!C9+'Cash projection'!D8</f>
        <v>268.339</v>
      </c>
      <c r="E9" s="6">
        <f>'Cash projection'!D9+'Cash projection'!E8</f>
        <v>349.452</v>
      </c>
      <c r="F9" s="6">
        <f>'Cash projection'!E9+'Cash projection'!F8</f>
        <v>430.565</v>
      </c>
      <c r="G9" s="6">
        <f>'Cash projection'!F9+'Cash projection'!G8</f>
        <v>511.678</v>
      </c>
      <c r="H9" s="6">
        <f>'Cash projection'!G9+'Cash projection'!H8</f>
        <v>592.7909999999999</v>
      </c>
      <c r="I9" s="6">
        <f>'Cash projection'!H9+'Cash projection'!I8</f>
        <v>673.904</v>
      </c>
      <c r="J9" s="6">
        <f>'Cash projection'!I9+'Cash projection'!J8</f>
        <v>755.017</v>
      </c>
      <c r="K9" s="6">
        <f>'Cash projection'!J9+'Cash projection'!K8</f>
        <v>836.1300000000001</v>
      </c>
      <c r="L9" s="6">
        <f>'Cash projection'!K9+'Cash projection'!L8</f>
        <v>917.2430000000002</v>
      </c>
      <c r="M9" s="6">
        <f>'Cash projection'!L9+'Cash projection'!M8</f>
        <v>998.3560000000002</v>
      </c>
    </row>
  </sheetData>
  <mergeCells count="1">
    <mergeCell ref="A1:M1"/>
  </mergeCells>
</worksheet>
</file>

<file path=xl/worksheets/sheet3.xml><?xml version="1.0" encoding="utf-8"?>
<worksheet xmlns="http://schemas.openxmlformats.org/spreadsheetml/2006/main">
  <dimension ref="A1:P107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2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11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11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11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11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4">
        <is>
          <t xml:space="preserve">Value</t>
        </is>
      </c>
      <c r="P5" t="inlineStr" s="4">
        <is>
          <t xml:space="preserve">Value</t>
        </is>
      </c>
    </row>
    <row r="6">
      <c r="A6" t="inlineStr" s="13">
        <is>
          <t xml:space="preserve">AWS credit remaining</t>
        </is>
      </c>
      <c r="B6" s="8">
        <f>IF('Cash &amp; runway summary'!B6="","",'Cash &amp; runway summary'!B6)</f>
        <v>25</v>
      </c>
      <c r="C6" s="8">
        <f>'Model inputs'!B6-'Model inputs'!C7</f>
        <v>9.743</v>
      </c>
      <c r="D6" s="8">
        <f>'Model inputs'!C6-'Model inputs'!D7</f>
        <v>0</v>
      </c>
      <c r="E6" s="8">
        <f>'Model inputs'!D6-'Model inputs'!E7</f>
        <v>0</v>
      </c>
      <c r="F6" s="8">
        <f>'Model inputs'!E6-'Model inputs'!F7</f>
        <v>0</v>
      </c>
      <c r="G6" s="8">
        <f>'Model inputs'!F6-'Model inputs'!G7</f>
        <v>0</v>
      </c>
      <c r="H6" s="8">
        <f>'Model inputs'!G6-'Model inputs'!H7</f>
        <v>0</v>
      </c>
      <c r="I6" s="8">
        <f>'Model inputs'!H6-'Model inputs'!I7</f>
        <v>0</v>
      </c>
      <c r="J6" s="8">
        <f>'Model inputs'!I6-'Model inputs'!J7</f>
        <v>0</v>
      </c>
      <c r="K6" s="8">
        <f>'Model inputs'!J6-'Model inputs'!K7</f>
        <v>0</v>
      </c>
      <c r="L6" s="8">
        <f>'Model inputs'!K6-'Model inputs'!L7</f>
        <v>0</v>
      </c>
      <c r="M6" s="8">
        <f>'Model inputs'!L6-'Model inputs'!M7</f>
        <v>0</v>
      </c>
      <c r="N6" s="8">
        <f>'Model inputs'!M6-'Model inputs'!N7</f>
        <v>0</v>
      </c>
    </row>
    <row r="7">
      <c r="A7" t="inlineStr" s="13">
        <is>
          <t xml:space="preserve">AWS credit used</t>
        </is>
      </c>
      <c r="B7" s="8">
        <v>0</v>
      </c>
      <c r="C7" s="8">
        <f>MIN('Model inputs'!B6,'Model inputs'!C11)</f>
        <v>15.257</v>
      </c>
      <c r="D7" s="8">
        <f>MIN('Model inputs'!C6,'Model inputs'!D11)</f>
        <v>9.743</v>
      </c>
      <c r="E7" s="8">
        <f>MIN('Model inputs'!D6,'Model inputs'!E11)</f>
        <v>0</v>
      </c>
      <c r="F7" s="8">
        <f>MIN('Model inputs'!E6,'Model inputs'!F11)</f>
        <v>0</v>
      </c>
      <c r="G7" s="8">
        <f>MIN('Model inputs'!F6,'Model inputs'!G11)</f>
        <v>0</v>
      </c>
      <c r="H7" s="8">
        <f>MIN('Model inputs'!G6,'Model inputs'!H11)</f>
        <v>0</v>
      </c>
      <c r="I7" s="8">
        <f>MIN('Model inputs'!H6,'Model inputs'!I11)</f>
        <v>0</v>
      </c>
      <c r="J7" s="8">
        <f>MIN('Model inputs'!I6,'Model inputs'!J11)</f>
        <v>0</v>
      </c>
      <c r="K7" s="8">
        <f>MIN('Model inputs'!J6,'Model inputs'!K11)</f>
        <v>0</v>
      </c>
      <c r="L7" s="8">
        <f>MIN('Model inputs'!K6,'Model inputs'!L11)</f>
        <v>0</v>
      </c>
      <c r="M7" s="8">
        <f>MIN('Model inputs'!L6,'Model inputs'!M11)</f>
        <v>0</v>
      </c>
      <c r="N7" s="8">
        <f>MIN('Model inputs'!M6,'Model inputs'!N11)</f>
        <v>0</v>
      </c>
    </row>
    <row r="8">
      <c r="A8" t="inlineStr" s="13">
        <is>
          <t xml:space="preserve">Cash balance</t>
        </is>
      </c>
      <c r="B8" s="8">
        <f>IF('Cash &amp; runway summary'!B5="","",'Cash &amp; runway summary'!B5)</f>
        <v>0</v>
      </c>
      <c r="C8" s="8">
        <f>'Model inputs'!B8+'Model inputs'!C16</f>
        <v>96.37</v>
      </c>
      <c r="D8" s="8">
        <f>'Model inputs'!C8+'Model inputs'!D16</f>
        <v>187.226</v>
      </c>
      <c r="E8" s="8">
        <f>'Model inputs'!D8+'Model inputs'!E16</f>
        <v>268.339</v>
      </c>
      <c r="F8" s="8">
        <f>'Model inputs'!E8+'Model inputs'!F16</f>
        <v>349.452</v>
      </c>
      <c r="G8" s="8">
        <f>'Model inputs'!F8+'Model inputs'!G16</f>
        <v>430.565</v>
      </c>
      <c r="H8" s="8">
        <f>'Model inputs'!G8+'Model inputs'!H16</f>
        <v>511.678</v>
      </c>
      <c r="I8" s="8">
        <f>'Model inputs'!H8+'Model inputs'!I16</f>
        <v>592.7909999999999</v>
      </c>
      <c r="J8" s="8">
        <f>'Model inputs'!I8+'Model inputs'!J16</f>
        <v>673.904</v>
      </c>
      <c r="K8" s="8">
        <f>'Model inputs'!J8+'Model inputs'!K16</f>
        <v>755.017</v>
      </c>
      <c r="L8" s="8">
        <f>'Model inputs'!K8+'Model inputs'!L16</f>
        <v>836.1300000000001</v>
      </c>
      <c r="M8" s="8">
        <f>'Model inputs'!L8+'Model inputs'!M16</f>
        <v>917.2430000000002</v>
      </c>
      <c r="N8" s="8">
        <f>'Model inputs'!M8+'Model inputs'!N16</f>
        <v>998.3560000000002</v>
      </c>
    </row>
    <row r="9">
      <c r="A9" t="inlineStr" s="13">
        <is>
          <t xml:space="preserve">Fixed costs per month</t>
        </is>
      </c>
      <c r="O9" s="8">
        <f>'Model inputs'!O25+'Model inputs'!O31+'Model inputs'!O32</f>
        <v>15.257</v>
      </c>
    </row>
    <row r="10">
      <c r="A10" t="inlineStr" s="13">
        <is>
          <t xml:space="preserve">Gross profit</t>
        </is>
      </c>
      <c r="B10" s="8">
        <v>0</v>
      </c>
      <c r="C10" s="8">
        <f>'Model inputs'!C34-'Model inputs'!C24</f>
        <v>81.113</v>
      </c>
      <c r="D10" s="8">
        <f>'Model inputs'!D34-'Model inputs'!D24</f>
        <v>81.113</v>
      </c>
      <c r="E10" s="8">
        <f>'Model inputs'!E34-'Model inputs'!E24</f>
        <v>81.113</v>
      </c>
      <c r="F10" s="8">
        <f>'Model inputs'!F34-'Model inputs'!F24</f>
        <v>81.113</v>
      </c>
      <c r="G10" s="8">
        <f>'Model inputs'!G34-'Model inputs'!G24</f>
        <v>81.113</v>
      </c>
      <c r="H10" s="8">
        <f>'Model inputs'!H34-'Model inputs'!H24</f>
        <v>81.113</v>
      </c>
      <c r="I10" s="8">
        <f>'Model inputs'!I34-'Model inputs'!I24</f>
        <v>81.113</v>
      </c>
      <c r="J10" s="8">
        <f>'Model inputs'!J34-'Model inputs'!J24</f>
        <v>81.113</v>
      </c>
      <c r="K10" s="8">
        <f>'Model inputs'!K34-'Model inputs'!K24</f>
        <v>81.113</v>
      </c>
      <c r="L10" s="8">
        <f>'Model inputs'!L34-'Model inputs'!L24</f>
        <v>81.113</v>
      </c>
      <c r="M10" s="8">
        <f>'Model inputs'!M34-'Model inputs'!M24</f>
        <v>81.113</v>
      </c>
      <c r="N10" s="8">
        <f>'Model inputs'!N34-'Model inputs'!N24</f>
        <v>81.113</v>
      </c>
    </row>
    <row r="11">
      <c r="A11" t="inlineStr" s="13">
        <is>
          <t xml:space="preserve">Hosting</t>
        </is>
      </c>
      <c r="B11" s="8">
        <v>0</v>
      </c>
      <c r="C11" s="8">
        <f>IF('Model inputs'!O25="","",'Model inputs'!O25)</f>
        <v>15.257</v>
      </c>
      <c r="D11" s="8">
        <f>IF('Model inputs'!O25="","",'Model inputs'!O25)</f>
        <v>15.257</v>
      </c>
      <c r="E11" s="8">
        <f>IF('Model inputs'!O25="","",'Model inputs'!O25)</f>
        <v>15.257</v>
      </c>
      <c r="F11" s="8">
        <f>IF('Model inputs'!O25="","",'Model inputs'!O25)</f>
        <v>15.257</v>
      </c>
      <c r="G11" s="8">
        <f>IF('Model inputs'!O25="","",'Model inputs'!O25)</f>
        <v>15.257</v>
      </c>
      <c r="H11" s="8">
        <f>IF('Model inputs'!O25="","",'Model inputs'!O25)</f>
        <v>15.257</v>
      </c>
      <c r="I11" s="8">
        <f>IF('Model inputs'!O25="","",'Model inputs'!O25)</f>
        <v>15.257</v>
      </c>
      <c r="J11" s="8">
        <f>IF('Model inputs'!O25="","",'Model inputs'!O25)</f>
        <v>15.257</v>
      </c>
      <c r="K11" s="8">
        <f>IF('Model inputs'!O25="","",'Model inputs'!O25)</f>
        <v>15.257</v>
      </c>
      <c r="L11" s="8">
        <f>IF('Model inputs'!O25="","",'Model inputs'!O25)</f>
        <v>15.257</v>
      </c>
      <c r="M11" s="8">
        <f>IF('Model inputs'!O25="","",'Model inputs'!O25)</f>
        <v>15.257</v>
      </c>
      <c r="N11" s="8">
        <f>IF('Model inputs'!O25="","",'Model inputs'!O25)</f>
        <v>15.257</v>
      </c>
    </row>
    <row r="12">
      <c r="A12" t="inlineStr" s="13">
        <is>
          <t xml:space="preserve">Monthly contribution</t>
        </is>
      </c>
      <c r="O12" s="6">
        <f>'Model inputs'!O27*'Model inputs'!O20</f>
        <v>0</v>
      </c>
    </row>
    <row r="13" outlineLevel="1">
      <c r="A13" t="inlineStr" s="14">
        <is>
          <t xml:space="preserve">Monthly contribution &gt; Free planner</t>
        </is>
      </c>
      <c r="O13" s="8">
        <f>'Model inputs'!O28*'Model inputs'!O21</f>
        <v>-3.3</v>
      </c>
    </row>
    <row r="14" outlineLevel="1">
      <c r="A14" t="inlineStr" s="14">
        <is>
          <t xml:space="preserve">Monthly contribution &gt; Freelancer Pro</t>
        </is>
      </c>
      <c r="O14" s="8">
        <f>'Model inputs'!O29*'Model inputs'!O22</f>
        <v>99.67</v>
      </c>
    </row>
    <row r="15" outlineLevel="1">
      <c r="A15" t="inlineStr" s="14">
        <is>
          <t xml:space="preserve">Monthly contribution &gt; Payout Desk</t>
        </is>
      </c>
      <c r="O15" s="8">
        <f>'Model inputs'!O30*'Model inputs'!O23</f>
        <v>0</v>
      </c>
    </row>
    <row r="16">
      <c r="A16" t="inlineStr" s="13">
        <is>
          <t xml:space="preserve">Net cash flow</t>
        </is>
      </c>
      <c r="B16" s="8">
        <v>0</v>
      </c>
      <c r="C16" s="8">
        <f>'Model inputs'!C17+'Model inputs'!C7</f>
        <v>96.37</v>
      </c>
      <c r="D16" s="8">
        <f>'Model inputs'!D17+'Model inputs'!D7</f>
        <v>90.856</v>
      </c>
      <c r="E16" s="8">
        <f>'Model inputs'!E17+'Model inputs'!E7</f>
        <v>81.113</v>
      </c>
      <c r="F16" s="8">
        <f>'Model inputs'!F17+'Model inputs'!F7</f>
        <v>81.113</v>
      </c>
      <c r="G16" s="8">
        <f>'Model inputs'!G17+'Model inputs'!G7</f>
        <v>81.113</v>
      </c>
      <c r="H16" s="8">
        <f>'Model inputs'!H17+'Model inputs'!H7</f>
        <v>81.113</v>
      </c>
      <c r="I16" s="8">
        <f>'Model inputs'!I17+'Model inputs'!I7</f>
        <v>81.113</v>
      </c>
      <c r="J16" s="8">
        <f>'Model inputs'!J17+'Model inputs'!J7</f>
        <v>81.113</v>
      </c>
      <c r="K16" s="8">
        <f>'Model inputs'!K17+'Model inputs'!K7</f>
        <v>81.113</v>
      </c>
      <c r="L16" s="8">
        <f>'Model inputs'!L17+'Model inputs'!L7</f>
        <v>81.113</v>
      </c>
      <c r="M16" s="8">
        <f>'Model inputs'!M17+'Model inputs'!M7</f>
        <v>81.113</v>
      </c>
      <c r="N16" s="8">
        <f>'Model inputs'!N17+'Model inputs'!N7</f>
        <v>81.113</v>
      </c>
    </row>
    <row r="17">
      <c r="A17" t="inlineStr" s="13">
        <is>
          <t xml:space="preserve">Operating profit</t>
        </is>
      </c>
      <c r="B17" s="8">
        <v>0</v>
      </c>
      <c r="C17" s="8">
        <f>'Model inputs'!C10-'Model inputs'!C18</f>
        <v>81.113</v>
      </c>
      <c r="D17" s="8">
        <f>'Model inputs'!D10-'Model inputs'!D18</f>
        <v>81.113</v>
      </c>
      <c r="E17" s="8">
        <f>'Model inputs'!E10-'Model inputs'!E18</f>
        <v>81.113</v>
      </c>
      <c r="F17" s="8">
        <f>'Model inputs'!F10-'Model inputs'!F18</f>
        <v>81.113</v>
      </c>
      <c r="G17" s="8">
        <f>'Model inputs'!G10-'Model inputs'!G18</f>
        <v>81.113</v>
      </c>
      <c r="H17" s="8">
        <f>'Model inputs'!H10-'Model inputs'!H18</f>
        <v>81.113</v>
      </c>
      <c r="I17" s="8">
        <f>'Model inputs'!I10-'Model inputs'!I18</f>
        <v>81.113</v>
      </c>
      <c r="J17" s="8">
        <f>'Model inputs'!J10-'Model inputs'!J18</f>
        <v>81.113</v>
      </c>
      <c r="K17" s="8">
        <f>'Model inputs'!K10-'Model inputs'!K18</f>
        <v>81.113</v>
      </c>
      <c r="L17" s="8">
        <f>'Model inputs'!L10-'Model inputs'!L18</f>
        <v>81.113</v>
      </c>
      <c r="M17" s="8">
        <f>'Model inputs'!M10-'Model inputs'!M18</f>
        <v>81.113</v>
      </c>
      <c r="N17" s="8">
        <f>'Model inputs'!N10-'Model inputs'!N18</f>
        <v>81.113</v>
      </c>
    </row>
    <row r="18">
      <c r="A18" t="inlineStr" s="13">
        <is>
          <t xml:space="preserve">Other operating expenses</t>
        </is>
      </c>
      <c r="B18" s="8">
        <v>0</v>
      </c>
      <c r="C18" s="8">
        <f>IF('Model inputs'!O32="","",'Model inputs'!O32)</f>
        <v>0</v>
      </c>
      <c r="D18" s="8">
        <f>IF('Model inputs'!O32="","",'Model inputs'!O32)</f>
        <v>0</v>
      </c>
      <c r="E18" s="8">
        <f>IF('Model inputs'!O32="","",'Model inputs'!O32)</f>
        <v>0</v>
      </c>
      <c r="F18" s="8">
        <f>IF('Model inputs'!O32="","",'Model inputs'!O32)</f>
        <v>0</v>
      </c>
      <c r="G18" s="8">
        <f>IF('Model inputs'!O32="","",'Model inputs'!O32)</f>
        <v>0</v>
      </c>
      <c r="H18" s="8">
        <f>IF('Model inputs'!O32="","",'Model inputs'!O32)</f>
        <v>0</v>
      </c>
      <c r="I18" s="8">
        <f>IF('Model inputs'!O32="","",'Model inputs'!O32)</f>
        <v>0</v>
      </c>
      <c r="J18" s="8">
        <f>IF('Model inputs'!O32="","",'Model inputs'!O32)</f>
        <v>0</v>
      </c>
      <c r="K18" s="8">
        <f>IF('Model inputs'!O32="","",'Model inputs'!O32)</f>
        <v>0</v>
      </c>
      <c r="L18" s="8">
        <f>IF('Model inputs'!O32="","",'Model inputs'!O32)</f>
        <v>0</v>
      </c>
      <c r="M18" s="8">
        <f>IF('Model inputs'!O32="","",'Model inputs'!O32)</f>
        <v>0</v>
      </c>
      <c r="N18" s="8">
        <f>IF('Model inputs'!O32="","",'Model inputs'!O32)</f>
        <v>0</v>
      </c>
    </row>
    <row r="19">
      <c r="A19" t="inlineStr" s="13">
        <is>
          <t xml:space="preserve">Total monthly contribution</t>
        </is>
      </c>
      <c r="O19" s="8">
        <f>SUM('Model inputs'!O13,'Model inputs'!O14,'Model inputs'!O15)</f>
        <v>96.37</v>
      </c>
    </row>
    <row r="20">
      <c r="A20" t="inlineStr" s="13">
        <is>
          <t xml:space="preserve">Contribution per unit</t>
        </is>
      </c>
      <c r="O20" s="15">
        <f>'Model inputs'!O50-'Model inputs'!O40-'Model inputs'!O45</f>
        <v>0</v>
      </c>
    </row>
    <row r="21" outlineLevel="1">
      <c r="A21" t="inlineStr" s="14">
        <is>
          <t xml:space="preserve">Contribution per unit &gt; Free planner</t>
        </is>
      </c>
      <c r="O21" s="16">
        <f>'Model inputs'!O51-'Model inputs'!O41-'Model inputs'!O46</f>
        <v>-0.0033</v>
      </c>
    </row>
    <row r="22" outlineLevel="1">
      <c r="A22" t="inlineStr" s="14">
        <is>
          <t xml:space="preserve">Contribution per unit &gt; Freelancer Pro</t>
        </is>
      </c>
      <c r="O22" s="16">
        <f>'Model inputs'!O52-'Model inputs'!O42-'Model inputs'!O47</f>
        <v>3.9868</v>
      </c>
    </row>
    <row r="23" outlineLevel="1">
      <c r="A23" t="inlineStr" s="14">
        <is>
          <t xml:space="preserve">Contribution per unit &gt; Payout Desk</t>
        </is>
      </c>
      <c r="O23" s="16">
        <f>'Model inputs'!O53-'Model inputs'!O43-'Model inputs'!O48</f>
        <v>1.9967</v>
      </c>
    </row>
    <row r="24">
      <c r="A24" t="inlineStr" s="13">
        <is>
          <t xml:space="preserve">Cost of revenue</t>
        </is>
      </c>
      <c r="B24" s="8">
        <v>0</v>
      </c>
      <c r="C24" s="8">
        <f>'Model inputs'!C39+'Model inputs'!C49+'Model inputs'!C11+'Model inputs'!C44</f>
        <v>18.887</v>
      </c>
      <c r="D24" s="8">
        <f>'Model inputs'!D39+'Model inputs'!D49+'Model inputs'!D11+'Model inputs'!D44</f>
        <v>18.887</v>
      </c>
      <c r="E24" s="8">
        <f>'Model inputs'!E39+'Model inputs'!E49+'Model inputs'!E11+'Model inputs'!E44</f>
        <v>18.887</v>
      </c>
      <c r="F24" s="8">
        <f>'Model inputs'!F39+'Model inputs'!F49+'Model inputs'!F11+'Model inputs'!F44</f>
        <v>18.887</v>
      </c>
      <c r="G24" s="8">
        <f>'Model inputs'!G39+'Model inputs'!G49+'Model inputs'!G11+'Model inputs'!G44</f>
        <v>18.887</v>
      </c>
      <c r="H24" s="8">
        <f>'Model inputs'!H39+'Model inputs'!H49+'Model inputs'!H11+'Model inputs'!H44</f>
        <v>18.887</v>
      </c>
      <c r="I24" s="8">
        <f>'Model inputs'!I39+'Model inputs'!I49+'Model inputs'!I11+'Model inputs'!I44</f>
        <v>18.887</v>
      </c>
      <c r="J24" s="8">
        <f>'Model inputs'!J39+'Model inputs'!J49+'Model inputs'!J11+'Model inputs'!J44</f>
        <v>18.887</v>
      </c>
      <c r="K24" s="8">
        <f>'Model inputs'!K39+'Model inputs'!K49+'Model inputs'!K11+'Model inputs'!K44</f>
        <v>18.887</v>
      </c>
      <c r="L24" s="8">
        <f>'Model inputs'!L39+'Model inputs'!L49+'Model inputs'!L11+'Model inputs'!L44</f>
        <v>18.887</v>
      </c>
      <c r="M24" s="8">
        <f>'Model inputs'!M39+'Model inputs'!M49+'Model inputs'!M11+'Model inputs'!M44</f>
        <v>18.887</v>
      </c>
      <c r="N24" s="8">
        <f>'Model inputs'!N39+'Model inputs'!N49+'Model inputs'!N11+'Model inputs'!N44</f>
        <v>18.887</v>
      </c>
    </row>
    <row r="25">
      <c r="A25" t="inlineStr" s="13">
        <is>
          <t xml:space="preserve">Hosting cost per month · Cash &amp; runway summary</t>
        </is>
      </c>
      <c r="O25" s="8">
        <f>'Model inputs'!O35*'Model inputs'!O37</f>
        <v>15.257</v>
      </c>
    </row>
    <row r="26">
      <c r="A26" t="inlineStr" s="13">
        <is>
          <t xml:space="preserve">Hosting cost per month · Hosting</t>
        </is>
      </c>
      <c r="P26" s="8">
        <f>'Model inputs'!O35*'Model inputs'!O37</f>
        <v>15.257</v>
      </c>
    </row>
    <row r="27">
      <c r="A27" t="inlineStr" s="13">
        <is>
          <t xml:space="preserve">Monthly volume</t>
        </is>
      </c>
      <c r="O27" s="17">
        <v>0</v>
      </c>
    </row>
    <row r="28" outlineLevel="1">
      <c r="A28" t="inlineStr" s="14">
        <is>
          <t xml:space="preserve">Monthly volume &gt; Free planner</t>
        </is>
      </c>
      <c r="O28" s="18">
        <f>1000</f>
        <v>1000</v>
      </c>
    </row>
    <row r="29" outlineLevel="1">
      <c r="A29" t="inlineStr" s="14">
        <is>
          <t xml:space="preserve">Monthly volume &gt; Freelancer Pro</t>
        </is>
      </c>
      <c r="O29" s="18">
        <f>25</f>
        <v>25</v>
      </c>
    </row>
    <row r="30" outlineLevel="1">
      <c r="A30" t="inlineStr" s="14">
        <is>
          <t xml:space="preserve">Monthly volume &gt; Payout Desk</t>
        </is>
      </c>
      <c r="O30" s="18">
        <f>0</f>
        <v>0</v>
      </c>
    </row>
    <row r="31">
      <c r="A31" t="inlineStr" s="13">
        <is>
          <t xml:space="preserve">Observability cost per month</t>
        </is>
      </c>
      <c r="O31" s="8">
        <f>0</f>
        <v>0</v>
      </c>
    </row>
    <row r="32">
      <c r="A32" t="inlineStr" s="13">
        <is>
          <t xml:space="preserve">Other operating expenses per month · Cash &amp; runway summary</t>
        </is>
      </c>
      <c r="O32" s="8">
        <f>0</f>
        <v>0</v>
      </c>
    </row>
    <row r="33">
      <c r="A33" t="inlineStr" s="13">
        <is>
          <t xml:space="preserve">Other operating expenses per month · Other operating expenses</t>
        </is>
      </c>
      <c r="P33" s="8">
        <f>'Model inputs'!O32</f>
        <v>0</v>
      </c>
    </row>
    <row r="34">
      <c r="A34" t="inlineStr" s="13">
        <is>
          <t xml:space="preserve">Revenue</t>
        </is>
      </c>
      <c r="B34" s="8">
        <f>SUM('Model inputs'!B55,'Model inputs'!B56,'Model inputs'!B57)</f>
        <v>0</v>
      </c>
      <c r="C34" s="8">
        <f>SUM('Model inputs'!C55,'Model inputs'!C56,'Model inputs'!C57)</f>
        <v>100</v>
      </c>
      <c r="D34" s="8">
        <f>SUM('Model inputs'!D55,'Model inputs'!D56,'Model inputs'!D57)</f>
        <v>100</v>
      </c>
      <c r="E34" s="8">
        <f>SUM('Model inputs'!E55,'Model inputs'!E56,'Model inputs'!E57)</f>
        <v>100</v>
      </c>
      <c r="F34" s="8">
        <f>SUM('Model inputs'!F55,'Model inputs'!F56,'Model inputs'!F57)</f>
        <v>100</v>
      </c>
      <c r="G34" s="8">
        <f>SUM('Model inputs'!G55,'Model inputs'!G56,'Model inputs'!G57)</f>
        <v>100</v>
      </c>
      <c r="H34" s="8">
        <f>SUM('Model inputs'!H55,'Model inputs'!H56,'Model inputs'!H57)</f>
        <v>100</v>
      </c>
      <c r="I34" s="8">
        <f>SUM('Model inputs'!I55,'Model inputs'!I56,'Model inputs'!I57)</f>
        <v>100</v>
      </c>
      <c r="J34" s="8">
        <f>SUM('Model inputs'!J55,'Model inputs'!J56,'Model inputs'!J57)</f>
        <v>100</v>
      </c>
      <c r="K34" s="8">
        <f>SUM('Model inputs'!K55,'Model inputs'!K56,'Model inputs'!K57)</f>
        <v>100</v>
      </c>
      <c r="L34" s="8">
        <f>SUM('Model inputs'!L55,'Model inputs'!L56,'Model inputs'!L57)</f>
        <v>100</v>
      </c>
      <c r="M34" s="8">
        <f>SUM('Model inputs'!M55,'Model inputs'!M56,'Model inputs'!M57)</f>
        <v>100</v>
      </c>
      <c r="N34" s="8">
        <f>SUM('Model inputs'!N55,'Model inputs'!N56,'Model inputs'!N57)</f>
        <v>100</v>
      </c>
    </row>
    <row r="35">
      <c r="A35" t="inlineStr" s="13">
        <is>
          <t xml:space="preserve">Hosting hourly rate · Cash &amp; runway summary</t>
        </is>
      </c>
      <c r="O35" s="16">
        <f>0.0209</f>
        <v>0.0209</v>
      </c>
    </row>
    <row r="36">
      <c r="A36" t="inlineStr" s="13">
        <is>
          <t xml:space="preserve">Hosting hourly rate · Hosting cost per month · Hosting</t>
        </is>
      </c>
      <c r="P36" s="16">
        <f>'Model inputs'!O35</f>
        <v>0.0209</v>
      </c>
    </row>
    <row r="37">
      <c r="A37" t="inlineStr" s="13">
        <is>
          <t xml:space="preserve">Hosting hours per month · Cash &amp; runway summary</t>
        </is>
      </c>
      <c r="O37" s="18">
        <f>730</f>
        <v>730</v>
      </c>
    </row>
    <row r="38">
      <c r="A38" t="inlineStr" s="13">
        <is>
          <t xml:space="preserve">Hosting hours per month · Hosting cost per month · Hosting</t>
        </is>
      </c>
      <c r="P38" s="18">
        <f>'Model inputs'!O37</f>
        <v>730</v>
      </c>
    </row>
    <row r="39">
      <c r="A39" t="inlineStr" s="13">
        <is>
          <t xml:space="preserve">Inference cost</t>
        </is>
      </c>
      <c r="B39" s="8">
        <f>SUM('Model inputs'!B63,'Model inputs'!B64,'Model inputs'!B65)</f>
        <v>0</v>
      </c>
      <c r="C39" s="8">
        <f>SUM('Model inputs'!C63,'Model inputs'!C64,'Model inputs'!C65)</f>
        <v>3.63</v>
      </c>
      <c r="D39" s="8">
        <f>SUM('Model inputs'!D63,'Model inputs'!D64,'Model inputs'!D65)</f>
        <v>3.63</v>
      </c>
      <c r="E39" s="8">
        <f>SUM('Model inputs'!E63,'Model inputs'!E64,'Model inputs'!E65)</f>
        <v>3.63</v>
      </c>
      <c r="F39" s="8">
        <f>SUM('Model inputs'!F63,'Model inputs'!F64,'Model inputs'!F65)</f>
        <v>3.63</v>
      </c>
      <c r="G39" s="8">
        <f>SUM('Model inputs'!G63,'Model inputs'!G64,'Model inputs'!G65)</f>
        <v>3.63</v>
      </c>
      <c r="H39" s="8">
        <f>SUM('Model inputs'!H63,'Model inputs'!H64,'Model inputs'!H65)</f>
        <v>3.63</v>
      </c>
      <c r="I39" s="8">
        <f>SUM('Model inputs'!I63,'Model inputs'!I64,'Model inputs'!I65)</f>
        <v>3.63</v>
      </c>
      <c r="J39" s="8">
        <f>SUM('Model inputs'!J63,'Model inputs'!J64,'Model inputs'!J65)</f>
        <v>3.63</v>
      </c>
      <c r="K39" s="8">
        <f>SUM('Model inputs'!K63,'Model inputs'!K64,'Model inputs'!K65)</f>
        <v>3.63</v>
      </c>
      <c r="L39" s="8">
        <f>SUM('Model inputs'!L63,'Model inputs'!L64,'Model inputs'!L65)</f>
        <v>3.63</v>
      </c>
      <c r="M39" s="8">
        <f>SUM('Model inputs'!M63,'Model inputs'!M64,'Model inputs'!M65)</f>
        <v>3.63</v>
      </c>
      <c r="N39" s="8">
        <f>SUM('Model inputs'!N63,'Model inputs'!N64,'Model inputs'!N65)</f>
        <v>3.63</v>
      </c>
    </row>
    <row r="40">
      <c r="A40" t="inlineStr" s="13">
        <is>
          <t xml:space="preserve">Inference cost per unit</t>
        </is>
      </c>
      <c r="O40" s="15">
        <f>'Model inputs'!O69*'Model inputs'!O66</f>
        <v>0</v>
      </c>
    </row>
    <row r="41" outlineLevel="1">
      <c r="A41" t="inlineStr" s="14">
        <is>
          <t xml:space="preserve">Inference cost per unit &gt; Free planner</t>
        </is>
      </c>
      <c r="O41" s="16">
        <f>'Model inputs'!O70*'Model inputs'!O66</f>
        <v>0.0033</v>
      </c>
    </row>
    <row r="42" outlineLevel="1">
      <c r="A42" t="inlineStr" s="14">
        <is>
          <t xml:space="preserve">Inference cost per unit &gt; Freelancer Pro</t>
        </is>
      </c>
      <c r="O42" s="16">
        <f>'Model inputs'!O71*'Model inputs'!O66</f>
        <v>0.0132</v>
      </c>
    </row>
    <row r="43" outlineLevel="1">
      <c r="A43" t="inlineStr" s="14">
        <is>
          <t xml:space="preserve">Inference cost per unit &gt; Payout Desk</t>
        </is>
      </c>
      <c r="O43" s="16">
        <f>'Model inputs'!O72*'Model inputs'!O66</f>
        <v>0.0033</v>
      </c>
    </row>
    <row r="44">
      <c r="A44" t="inlineStr" s="13">
        <is>
          <t xml:space="preserve">Observability</t>
        </is>
      </c>
      <c r="B44" s="8">
        <v>0</v>
      </c>
      <c r="C44" s="8">
        <f>IF('Model inputs'!O31="","",'Model inputs'!O31)</f>
        <v>0</v>
      </c>
      <c r="D44" s="8">
        <f>IF('Model inputs'!O31="","",'Model inputs'!O31)</f>
        <v>0</v>
      </c>
      <c r="E44" s="8">
        <f>IF('Model inputs'!O31="","",'Model inputs'!O31)</f>
        <v>0</v>
      </c>
      <c r="F44" s="8">
        <f>IF('Model inputs'!O31="","",'Model inputs'!O31)</f>
        <v>0</v>
      </c>
      <c r="G44" s="8">
        <f>IF('Model inputs'!O31="","",'Model inputs'!O31)</f>
        <v>0</v>
      </c>
      <c r="H44" s="8">
        <f>IF('Model inputs'!O31="","",'Model inputs'!O31)</f>
        <v>0</v>
      </c>
      <c r="I44" s="8">
        <f>IF('Model inputs'!O31="","",'Model inputs'!O31)</f>
        <v>0</v>
      </c>
      <c r="J44" s="8">
        <f>IF('Model inputs'!O31="","",'Model inputs'!O31)</f>
        <v>0</v>
      </c>
      <c r="K44" s="8">
        <f>IF('Model inputs'!O31="","",'Model inputs'!O31)</f>
        <v>0</v>
      </c>
      <c r="L44" s="8">
        <f>IF('Model inputs'!O31="","",'Model inputs'!O31)</f>
        <v>0</v>
      </c>
      <c r="M44" s="8">
        <f>IF('Model inputs'!O31="","",'Model inputs'!O31)</f>
        <v>0</v>
      </c>
      <c r="N44" s="8">
        <f>IF('Model inputs'!O31="","",'Model inputs'!O31)</f>
        <v>0</v>
      </c>
    </row>
    <row r="45">
      <c r="A45" t="inlineStr" s="13">
        <is>
          <t xml:space="preserve">Payment fees per unit</t>
        </is>
      </c>
      <c r="O45" s="15">
        <f>'Model inputs'!O50*'Model inputs'!O68+'Model inputs'!O58*'Model inputs'!O67</f>
        <v>0</v>
      </c>
    </row>
    <row r="46" outlineLevel="1">
      <c r="A46" t="inlineStr" s="14">
        <is>
          <t xml:space="preserve">Payment fees per unit &gt; Free planner</t>
        </is>
      </c>
      <c r="O46" s="16">
        <f>'Model inputs'!O51*'Model inputs'!O68+'Model inputs'!O59*'Model inputs'!O67</f>
        <v>0</v>
      </c>
    </row>
    <row r="47" outlineLevel="1">
      <c r="A47" t="inlineStr" s="14">
        <is>
          <t xml:space="preserve">Payment fees per unit &gt; Freelancer Pro</t>
        </is>
      </c>
      <c r="O47" s="16">
        <f>'Model inputs'!O52*'Model inputs'!O68+'Model inputs'!O60*'Model inputs'!O67</f>
        <v>0</v>
      </c>
    </row>
    <row r="48" outlineLevel="1">
      <c r="A48" t="inlineStr" s="14">
        <is>
          <t xml:space="preserve">Payment fees per unit &gt; Payout Desk</t>
        </is>
      </c>
      <c r="O48" s="16">
        <f>'Model inputs'!O53*'Model inputs'!O68+'Model inputs'!O61*'Model inputs'!O67</f>
        <v>0</v>
      </c>
    </row>
    <row r="49">
      <c r="A49" t="inlineStr" s="13">
        <is>
          <t xml:space="preserve">Payment processing fees</t>
        </is>
      </c>
      <c r="B49" s="8">
        <f>SUM('Model inputs'!B83,'Model inputs'!B84,'Model inputs'!B85)</f>
        <v>0</v>
      </c>
      <c r="C49" s="8">
        <f>SUM('Model inputs'!C83,'Model inputs'!C84,'Model inputs'!C85)</f>
        <v>0</v>
      </c>
      <c r="D49" s="8">
        <f>SUM('Model inputs'!D83,'Model inputs'!D84,'Model inputs'!D85)</f>
        <v>0</v>
      </c>
      <c r="E49" s="8">
        <f>SUM('Model inputs'!E83,'Model inputs'!E84,'Model inputs'!E85)</f>
        <v>0</v>
      </c>
      <c r="F49" s="8">
        <f>SUM('Model inputs'!F83,'Model inputs'!F84,'Model inputs'!F85)</f>
        <v>0</v>
      </c>
      <c r="G49" s="8">
        <f>SUM('Model inputs'!G83,'Model inputs'!G84,'Model inputs'!G85)</f>
        <v>0</v>
      </c>
      <c r="H49" s="8">
        <f>SUM('Model inputs'!H83,'Model inputs'!H84,'Model inputs'!H85)</f>
        <v>0</v>
      </c>
      <c r="I49" s="8">
        <f>SUM('Model inputs'!I83,'Model inputs'!I84,'Model inputs'!I85)</f>
        <v>0</v>
      </c>
      <c r="J49" s="8">
        <f>SUM('Model inputs'!J83,'Model inputs'!J84,'Model inputs'!J85)</f>
        <v>0</v>
      </c>
      <c r="K49" s="8">
        <f>SUM('Model inputs'!K83,'Model inputs'!K84,'Model inputs'!K85)</f>
        <v>0</v>
      </c>
      <c r="L49" s="8">
        <f>SUM('Model inputs'!L83,'Model inputs'!L84,'Model inputs'!L85)</f>
        <v>0</v>
      </c>
      <c r="M49" s="8">
        <f>SUM('Model inputs'!M83,'Model inputs'!M84,'Model inputs'!M85)</f>
        <v>0</v>
      </c>
      <c r="N49" s="8">
        <f>SUM('Model inputs'!N83,'Model inputs'!N84,'Model inputs'!N85)</f>
        <v>0</v>
      </c>
    </row>
    <row r="50">
      <c r="A50" t="inlineStr" s="13">
        <is>
          <t xml:space="preserve">Price</t>
        </is>
      </c>
      <c r="O50" s="6">
        <v>0</v>
      </c>
    </row>
    <row r="51" outlineLevel="1">
      <c r="A51" t="inlineStr" s="14">
        <is>
          <t xml:space="preserve">Price &gt; Free planner</t>
        </is>
      </c>
      <c r="O51" s="8">
        <f>0</f>
        <v>0</v>
      </c>
    </row>
    <row r="52" outlineLevel="1">
      <c r="A52" t="inlineStr" s="14">
        <is>
          <t xml:space="preserve">Price &gt; Freelancer Pro</t>
        </is>
      </c>
      <c r="O52" s="8">
        <f>4</f>
        <v>4</v>
      </c>
    </row>
    <row r="53" outlineLevel="1">
      <c r="A53" t="inlineStr" s="14">
        <is>
          <t xml:space="preserve">Price &gt; Payout Desk</t>
        </is>
      </c>
      <c r="O53" s="8">
        <f>2</f>
        <v>2</v>
      </c>
    </row>
    <row r="54">
      <c r="A54" t="inlineStr" s="13">
        <is>
          <t xml:space="preserve">Revenue</t>
        </is>
      </c>
      <c r="B54" s="6">
        <f>IF('Model inputs'!B34="","",'Model inputs'!B34)</f>
        <v>0</v>
      </c>
      <c r="C54" s="6">
        <f>IF('Model inputs'!C34="","",'Model inputs'!C34)</f>
        <v>100</v>
      </c>
      <c r="D54" s="6">
        <f>IF('Model inputs'!D34="","",'Model inputs'!D34)</f>
        <v>100</v>
      </c>
      <c r="E54" s="6">
        <f>IF('Model inputs'!E34="","",'Model inputs'!E34)</f>
        <v>100</v>
      </c>
      <c r="F54" s="6">
        <f>IF('Model inputs'!F34="","",'Model inputs'!F34)</f>
        <v>100</v>
      </c>
      <c r="G54" s="6">
        <f>IF('Model inputs'!G34="","",'Model inputs'!G34)</f>
        <v>100</v>
      </c>
      <c r="H54" s="6">
        <f>IF('Model inputs'!H34="","",'Model inputs'!H34)</f>
        <v>100</v>
      </c>
      <c r="I54" s="6">
        <f>IF('Model inputs'!I34="","",'Model inputs'!I34)</f>
        <v>100</v>
      </c>
      <c r="J54" s="6">
        <f>IF('Model inputs'!J34="","",'Model inputs'!J34)</f>
        <v>100</v>
      </c>
      <c r="K54" s="6">
        <f>IF('Model inputs'!K34="","",'Model inputs'!K34)</f>
        <v>100</v>
      </c>
      <c r="L54" s="6">
        <f>IF('Model inputs'!L34="","",'Model inputs'!L34)</f>
        <v>100</v>
      </c>
      <c r="M54" s="6">
        <f>IF('Model inputs'!M34="","",'Model inputs'!M34)</f>
        <v>100</v>
      </c>
      <c r="N54" s="6">
        <f>IF('Model inputs'!N34="","",'Model inputs'!N34)</f>
        <v>100</v>
      </c>
    </row>
    <row r="55" outlineLevel="1">
      <c r="A55" t="inlineStr" s="14">
        <is>
          <t xml:space="preserve">Revenue &gt; Free planner</t>
        </is>
      </c>
      <c r="B55" s="8">
        <f>0</f>
        <v>0</v>
      </c>
      <c r="C55" s="8">
        <f>'Model inputs'!O28*'Model inputs'!O51</f>
        <v>0</v>
      </c>
      <c r="D55" s="8">
        <f>'Model inputs'!O28*'Model inputs'!O51</f>
        <v>0</v>
      </c>
      <c r="E55" s="8">
        <f>'Model inputs'!O28*'Model inputs'!O51</f>
        <v>0</v>
      </c>
      <c r="F55" s="8">
        <f>'Model inputs'!O28*'Model inputs'!O51</f>
        <v>0</v>
      </c>
      <c r="G55" s="8">
        <f>'Model inputs'!O28*'Model inputs'!O51</f>
        <v>0</v>
      </c>
      <c r="H55" s="8">
        <f>'Model inputs'!O28*'Model inputs'!O51</f>
        <v>0</v>
      </c>
      <c r="I55" s="8">
        <f>'Model inputs'!O28*'Model inputs'!O51</f>
        <v>0</v>
      </c>
      <c r="J55" s="8">
        <f>'Model inputs'!O28*'Model inputs'!O51</f>
        <v>0</v>
      </c>
      <c r="K55" s="8">
        <f>'Model inputs'!O28*'Model inputs'!O51</f>
        <v>0</v>
      </c>
      <c r="L55" s="8">
        <f>'Model inputs'!O28*'Model inputs'!O51</f>
        <v>0</v>
      </c>
      <c r="M55" s="8">
        <f>'Model inputs'!O28*'Model inputs'!O51</f>
        <v>0</v>
      </c>
      <c r="N55" s="8">
        <f>'Model inputs'!O28*'Model inputs'!O51</f>
        <v>0</v>
      </c>
    </row>
    <row r="56" outlineLevel="1">
      <c r="A56" t="inlineStr" s="14">
        <is>
          <t xml:space="preserve">Revenue &gt; Freelancer Pro</t>
        </is>
      </c>
      <c r="B56" s="8">
        <f>0</f>
        <v>0</v>
      </c>
      <c r="C56" s="8">
        <f>'Model inputs'!O29*'Model inputs'!O52</f>
        <v>100</v>
      </c>
      <c r="D56" s="8">
        <f>'Model inputs'!O29*'Model inputs'!O52</f>
        <v>100</v>
      </c>
      <c r="E56" s="8">
        <f>'Model inputs'!O29*'Model inputs'!O52</f>
        <v>100</v>
      </c>
      <c r="F56" s="8">
        <f>'Model inputs'!O29*'Model inputs'!O52</f>
        <v>100</v>
      </c>
      <c r="G56" s="8">
        <f>'Model inputs'!O29*'Model inputs'!O52</f>
        <v>100</v>
      </c>
      <c r="H56" s="8">
        <f>'Model inputs'!O29*'Model inputs'!O52</f>
        <v>100</v>
      </c>
      <c r="I56" s="8">
        <f>'Model inputs'!O29*'Model inputs'!O52</f>
        <v>100</v>
      </c>
      <c r="J56" s="8">
        <f>'Model inputs'!O29*'Model inputs'!O52</f>
        <v>100</v>
      </c>
      <c r="K56" s="8">
        <f>'Model inputs'!O29*'Model inputs'!O52</f>
        <v>100</v>
      </c>
      <c r="L56" s="8">
        <f>'Model inputs'!O29*'Model inputs'!O52</f>
        <v>100</v>
      </c>
      <c r="M56" s="8">
        <f>'Model inputs'!O29*'Model inputs'!O52</f>
        <v>100</v>
      </c>
      <c r="N56" s="8">
        <f>'Model inputs'!O29*'Model inputs'!O52</f>
        <v>100</v>
      </c>
    </row>
    <row r="57" outlineLevel="1">
      <c r="A57" t="inlineStr" s="14">
        <is>
          <t xml:space="preserve">Revenue &gt; Payout Desk</t>
        </is>
      </c>
      <c r="B57" s="8">
        <f>0</f>
        <v>0</v>
      </c>
      <c r="C57" s="8">
        <f>'Model inputs'!O30*'Model inputs'!O53</f>
        <v>0</v>
      </c>
      <c r="D57" s="8">
        <f>'Model inputs'!O30*'Model inputs'!O53</f>
        <v>0</v>
      </c>
      <c r="E57" s="8">
        <f>'Model inputs'!O30*'Model inputs'!O53</f>
        <v>0</v>
      </c>
      <c r="F57" s="8">
        <f>'Model inputs'!O30*'Model inputs'!O53</f>
        <v>0</v>
      </c>
      <c r="G57" s="8">
        <f>'Model inputs'!O30*'Model inputs'!O53</f>
        <v>0</v>
      </c>
      <c r="H57" s="8">
        <f>'Model inputs'!O30*'Model inputs'!O53</f>
        <v>0</v>
      </c>
      <c r="I57" s="8">
        <f>'Model inputs'!O30*'Model inputs'!O53</f>
        <v>0</v>
      </c>
      <c r="J57" s="8">
        <f>'Model inputs'!O30*'Model inputs'!O53</f>
        <v>0</v>
      </c>
      <c r="K57" s="8">
        <f>'Model inputs'!O30*'Model inputs'!O53</f>
        <v>0</v>
      </c>
      <c r="L57" s="8">
        <f>'Model inputs'!O30*'Model inputs'!O53</f>
        <v>0</v>
      </c>
      <c r="M57" s="8">
        <f>'Model inputs'!O30*'Model inputs'!O53</f>
        <v>0</v>
      </c>
      <c r="N57" s="8">
        <f>'Model inputs'!O30*'Model inputs'!O53</f>
        <v>0</v>
      </c>
    </row>
    <row r="58">
      <c r="A58" t="inlineStr" s="13">
        <is>
          <t xml:space="preserve">Charges per paying unit</t>
        </is>
      </c>
      <c r="O58" s="17">
        <v>0</v>
      </c>
    </row>
    <row r="59" outlineLevel="1">
      <c r="A59" t="inlineStr" s="14">
        <is>
          <t xml:space="preserve">Charges per paying unit &gt; Free planner</t>
        </is>
      </c>
      <c r="O59" s="18">
        <f>0</f>
        <v>0</v>
      </c>
    </row>
    <row r="60" outlineLevel="1">
      <c r="A60" t="inlineStr" s="14">
        <is>
          <t xml:space="preserve">Charges per paying unit &gt; Freelancer Pro</t>
        </is>
      </c>
      <c r="O60" s="18">
        <f>1</f>
        <v>1</v>
      </c>
    </row>
    <row r="61" outlineLevel="1">
      <c r="A61" t="inlineStr" s="14">
        <is>
          <t xml:space="preserve">Charges per paying unit &gt; Payout Desk</t>
        </is>
      </c>
      <c r="O61" s="18">
        <f>0</f>
        <v>0</v>
      </c>
    </row>
    <row r="62">
      <c r="A62" t="inlineStr" s="13">
        <is>
          <t xml:space="preserve">Inference cost</t>
        </is>
      </c>
      <c r="B62" s="6">
        <f>IF('Model inputs'!B39="","",'Model inputs'!B39)</f>
        <v>0</v>
      </c>
      <c r="C62" s="6">
        <f>IF('Model inputs'!C39="","",'Model inputs'!C39)</f>
        <v>3.63</v>
      </c>
      <c r="D62" s="6">
        <f>IF('Model inputs'!D39="","",'Model inputs'!D39)</f>
        <v>3.63</v>
      </c>
      <c r="E62" s="6">
        <f>IF('Model inputs'!E39="","",'Model inputs'!E39)</f>
        <v>3.63</v>
      </c>
      <c r="F62" s="6">
        <f>IF('Model inputs'!F39="","",'Model inputs'!F39)</f>
        <v>3.63</v>
      </c>
      <c r="G62" s="6">
        <f>IF('Model inputs'!G39="","",'Model inputs'!G39)</f>
        <v>3.63</v>
      </c>
      <c r="H62" s="6">
        <f>IF('Model inputs'!H39="","",'Model inputs'!H39)</f>
        <v>3.63</v>
      </c>
      <c r="I62" s="6">
        <f>IF('Model inputs'!I39="","",'Model inputs'!I39)</f>
        <v>3.63</v>
      </c>
      <c r="J62" s="6">
        <f>IF('Model inputs'!J39="","",'Model inputs'!J39)</f>
        <v>3.63</v>
      </c>
      <c r="K62" s="6">
        <f>IF('Model inputs'!K39="","",'Model inputs'!K39)</f>
        <v>3.63</v>
      </c>
      <c r="L62" s="6">
        <f>IF('Model inputs'!L39="","",'Model inputs'!L39)</f>
        <v>3.63</v>
      </c>
      <c r="M62" s="6">
        <f>IF('Model inputs'!M39="","",'Model inputs'!M39)</f>
        <v>3.63</v>
      </c>
      <c r="N62" s="6">
        <f>IF('Model inputs'!N39="","",'Model inputs'!N39)</f>
        <v>3.63</v>
      </c>
    </row>
    <row r="63" outlineLevel="1">
      <c r="A63" t="inlineStr" s="14">
        <is>
          <t xml:space="preserve">Inference cost &gt; Free planner</t>
        </is>
      </c>
      <c r="B63" s="8">
        <f>0</f>
        <v>0</v>
      </c>
      <c r="C63" s="8">
        <f>'Model inputs'!P87*'Model inputs'!O66</f>
        <v>3.3</v>
      </c>
      <c r="D63" s="8">
        <f>'Model inputs'!P87*'Model inputs'!O66</f>
        <v>3.3</v>
      </c>
      <c r="E63" s="8">
        <f>'Model inputs'!P87*'Model inputs'!O66</f>
        <v>3.3</v>
      </c>
      <c r="F63" s="8">
        <f>'Model inputs'!P87*'Model inputs'!O66</f>
        <v>3.3</v>
      </c>
      <c r="G63" s="8">
        <f>'Model inputs'!P87*'Model inputs'!O66</f>
        <v>3.3</v>
      </c>
      <c r="H63" s="8">
        <f>'Model inputs'!P87*'Model inputs'!O66</f>
        <v>3.3</v>
      </c>
      <c r="I63" s="8">
        <f>'Model inputs'!P87*'Model inputs'!O66</f>
        <v>3.3</v>
      </c>
      <c r="J63" s="8">
        <f>'Model inputs'!P87*'Model inputs'!O66</f>
        <v>3.3</v>
      </c>
      <c r="K63" s="8">
        <f>'Model inputs'!P87*'Model inputs'!O66</f>
        <v>3.3</v>
      </c>
      <c r="L63" s="8">
        <f>'Model inputs'!P87*'Model inputs'!O66</f>
        <v>3.3</v>
      </c>
      <c r="M63" s="8">
        <f>'Model inputs'!P87*'Model inputs'!O66</f>
        <v>3.3</v>
      </c>
      <c r="N63" s="8">
        <f>'Model inputs'!P87*'Model inputs'!O66</f>
        <v>3.3</v>
      </c>
    </row>
    <row r="64" outlineLevel="1">
      <c r="A64" t="inlineStr" s="14">
        <is>
          <t xml:space="preserve">Inference cost &gt; Freelancer Pro</t>
        </is>
      </c>
      <c r="B64" s="8">
        <f>0</f>
        <v>0</v>
      </c>
      <c r="C64" s="8">
        <f>'Model inputs'!P88*'Model inputs'!O66</f>
        <v>0.33</v>
      </c>
      <c r="D64" s="8">
        <f>'Model inputs'!P88*'Model inputs'!O66</f>
        <v>0.33</v>
      </c>
      <c r="E64" s="8">
        <f>'Model inputs'!P88*'Model inputs'!O66</f>
        <v>0.33</v>
      </c>
      <c r="F64" s="8">
        <f>'Model inputs'!P88*'Model inputs'!O66</f>
        <v>0.33</v>
      </c>
      <c r="G64" s="8">
        <f>'Model inputs'!P88*'Model inputs'!O66</f>
        <v>0.33</v>
      </c>
      <c r="H64" s="8">
        <f>'Model inputs'!P88*'Model inputs'!O66</f>
        <v>0.33</v>
      </c>
      <c r="I64" s="8">
        <f>'Model inputs'!P88*'Model inputs'!O66</f>
        <v>0.33</v>
      </c>
      <c r="J64" s="8">
        <f>'Model inputs'!P88*'Model inputs'!O66</f>
        <v>0.33</v>
      </c>
      <c r="K64" s="8">
        <f>'Model inputs'!P88*'Model inputs'!O66</f>
        <v>0.33</v>
      </c>
      <c r="L64" s="8">
        <f>'Model inputs'!P88*'Model inputs'!O66</f>
        <v>0.33</v>
      </c>
      <c r="M64" s="8">
        <f>'Model inputs'!P88*'Model inputs'!O66</f>
        <v>0.33</v>
      </c>
      <c r="N64" s="8">
        <f>'Model inputs'!P88*'Model inputs'!O66</f>
        <v>0.33</v>
      </c>
    </row>
    <row r="65" outlineLevel="1">
      <c r="A65" t="inlineStr" s="14">
        <is>
          <t xml:space="preserve">Inference cost &gt; Payout Desk</t>
        </is>
      </c>
      <c r="B65" s="8">
        <f>0</f>
        <v>0</v>
      </c>
      <c r="C65" s="8">
        <f>'Model inputs'!P89*'Model inputs'!O66</f>
        <v>0</v>
      </c>
      <c r="D65" s="8">
        <f>'Model inputs'!P89*'Model inputs'!O66</f>
        <v>0</v>
      </c>
      <c r="E65" s="8">
        <f>'Model inputs'!P89*'Model inputs'!O66</f>
        <v>0</v>
      </c>
      <c r="F65" s="8">
        <f>'Model inputs'!P89*'Model inputs'!O66</f>
        <v>0</v>
      </c>
      <c r="G65" s="8">
        <f>'Model inputs'!P89*'Model inputs'!O66</f>
        <v>0</v>
      </c>
      <c r="H65" s="8">
        <f>'Model inputs'!P89*'Model inputs'!O66</f>
        <v>0</v>
      </c>
      <c r="I65" s="8">
        <f>'Model inputs'!P89*'Model inputs'!O66</f>
        <v>0</v>
      </c>
      <c r="J65" s="8">
        <f>'Model inputs'!P89*'Model inputs'!O66</f>
        <v>0</v>
      </c>
      <c r="K65" s="8">
        <f>'Model inputs'!P89*'Model inputs'!O66</f>
        <v>0</v>
      </c>
      <c r="L65" s="8">
        <f>'Model inputs'!P89*'Model inputs'!O66</f>
        <v>0</v>
      </c>
      <c r="M65" s="8">
        <f>'Model inputs'!P89*'Model inputs'!O66</f>
        <v>0</v>
      </c>
      <c r="N65" s="8">
        <f>'Model inputs'!P89*'Model inputs'!O66</f>
        <v>0</v>
      </c>
    </row>
    <row r="66">
      <c r="A66" t="inlineStr" s="13">
        <is>
          <t xml:space="preserve">Inference cost per plan</t>
        </is>
      </c>
      <c r="O66" s="16">
        <f>0.0033</f>
        <v>0.0033</v>
      </c>
    </row>
    <row r="67">
      <c r="A67" t="inlineStr" s="13">
        <is>
          <t xml:space="preserve">Payment fee per charge</t>
        </is>
      </c>
      <c r="O67" s="8">
        <f>0</f>
        <v>0</v>
      </c>
    </row>
    <row r="68">
      <c r="A68" t="inlineStr" s="13">
        <is>
          <t xml:space="preserve">Payment processing rate</t>
        </is>
      </c>
      <c r="O68" s="19">
        <f>0</f>
        <v>0</v>
      </c>
    </row>
    <row r="69">
      <c r="A69" t="inlineStr" s="13">
        <is>
          <t xml:space="preserve">Plans per paying unit</t>
        </is>
      </c>
      <c r="O69" s="17">
        <v>0</v>
      </c>
    </row>
    <row r="70" outlineLevel="1">
      <c r="A70" t="inlineStr" s="14">
        <is>
          <t xml:space="preserve">Plans per paying unit &gt; Free planner</t>
        </is>
      </c>
      <c r="O70" s="18">
        <f>1</f>
        <v>1</v>
      </c>
    </row>
    <row r="71" outlineLevel="1">
      <c r="A71" t="inlineStr" s="14">
        <is>
          <t xml:space="preserve">Plans per paying unit &gt; Freelancer Pro</t>
        </is>
      </c>
      <c r="O71" s="18">
        <f>4</f>
        <v>4</v>
      </c>
    </row>
    <row r="72" outlineLevel="1">
      <c r="A72" t="inlineStr" s="14">
        <is>
          <t xml:space="preserve">Plans per paying unit &gt; Payout Desk</t>
        </is>
      </c>
      <c r="O72" s="18">
        <f>1</f>
        <v>1</v>
      </c>
    </row>
    <row r="73">
      <c r="A73" t="inlineStr" s="13">
        <is>
          <t xml:space="preserve">Monthly volume</t>
        </is>
      </c>
      <c r="P73" s="17">
        <v>0</v>
      </c>
    </row>
    <row r="74" outlineLevel="1">
      <c r="A74" t="inlineStr" s="14">
        <is>
          <t xml:space="preserve">Monthly volume &gt; Free planner</t>
        </is>
      </c>
      <c r="P74" s="18">
        <f>'Model inputs'!O28</f>
        <v>1000</v>
      </c>
    </row>
    <row r="75" outlineLevel="1">
      <c r="A75" t="inlineStr" s="14">
        <is>
          <t xml:space="preserve">Monthly volume &gt; Freelancer Pro</t>
        </is>
      </c>
      <c r="P75" s="18">
        <f>'Model inputs'!O29</f>
        <v>25</v>
      </c>
    </row>
    <row r="76" outlineLevel="1">
      <c r="A76" t="inlineStr" s="14">
        <is>
          <t xml:space="preserve">Monthly volume &gt; Payout Desk</t>
        </is>
      </c>
      <c r="P76" s="18">
        <f>'Model inputs'!O30</f>
        <v>0</v>
      </c>
    </row>
    <row r="77">
      <c r="A77" t="inlineStr" s="13">
        <is>
          <t xml:space="preserve">Observability cost per month · Observability</t>
        </is>
      </c>
      <c r="P77" s="8">
        <f>'Model inputs'!O31</f>
        <v>0</v>
      </c>
    </row>
    <row r="78">
      <c r="A78" t="inlineStr" s="13">
        <is>
          <t xml:space="preserve">Price</t>
        </is>
      </c>
      <c r="P78" s="6">
        <v>0</v>
      </c>
    </row>
    <row r="79" outlineLevel="1">
      <c r="A79" t="inlineStr" s="14">
        <is>
          <t xml:space="preserve">Price &gt; Free planner</t>
        </is>
      </c>
      <c r="P79" s="8">
        <f>'Model inputs'!O51</f>
        <v>0</v>
      </c>
    </row>
    <row r="80" outlineLevel="1">
      <c r="A80" t="inlineStr" s="14">
        <is>
          <t xml:space="preserve">Price &gt; Freelancer Pro</t>
        </is>
      </c>
      <c r="P80" s="8">
        <f>'Model inputs'!O52</f>
        <v>4</v>
      </c>
    </row>
    <row r="81" outlineLevel="1">
      <c r="A81" t="inlineStr" s="14">
        <is>
          <t xml:space="preserve">Price &gt; Payout Desk</t>
        </is>
      </c>
      <c r="P81" s="8">
        <f>'Model inputs'!O53</f>
        <v>2</v>
      </c>
    </row>
    <row r="82">
      <c r="A82" t="inlineStr" s="13">
        <is>
          <t xml:space="preserve">Payment processing fees</t>
        </is>
      </c>
      <c r="B82" s="6">
        <f>IF('Model inputs'!B49="","",'Model inputs'!B49)</f>
        <v>0</v>
      </c>
      <c r="C82" s="6">
        <f>IF('Model inputs'!C49="","",'Model inputs'!C49)</f>
        <v>0</v>
      </c>
      <c r="D82" s="6">
        <f>IF('Model inputs'!D49="","",'Model inputs'!D49)</f>
        <v>0</v>
      </c>
      <c r="E82" s="6">
        <f>IF('Model inputs'!E49="","",'Model inputs'!E49)</f>
        <v>0</v>
      </c>
      <c r="F82" s="6">
        <f>IF('Model inputs'!F49="","",'Model inputs'!F49)</f>
        <v>0</v>
      </c>
      <c r="G82" s="6">
        <f>IF('Model inputs'!G49="","",'Model inputs'!G49)</f>
        <v>0</v>
      </c>
      <c r="H82" s="6">
        <f>IF('Model inputs'!H49="","",'Model inputs'!H49)</f>
        <v>0</v>
      </c>
      <c r="I82" s="6">
        <f>IF('Model inputs'!I49="","",'Model inputs'!I49)</f>
        <v>0</v>
      </c>
      <c r="J82" s="6">
        <f>IF('Model inputs'!J49="","",'Model inputs'!J49)</f>
        <v>0</v>
      </c>
      <c r="K82" s="6">
        <f>IF('Model inputs'!K49="","",'Model inputs'!K49)</f>
        <v>0</v>
      </c>
      <c r="L82" s="6">
        <f>IF('Model inputs'!L49="","",'Model inputs'!L49)</f>
        <v>0</v>
      </c>
      <c r="M82" s="6">
        <f>IF('Model inputs'!M49="","",'Model inputs'!M49)</f>
        <v>0</v>
      </c>
      <c r="N82" s="6">
        <f>IF('Model inputs'!N49="","",'Model inputs'!N49)</f>
        <v>0</v>
      </c>
    </row>
    <row r="83" outlineLevel="1">
      <c r="A83" t="inlineStr" s="14">
        <is>
          <t xml:space="preserve">Payment processing fees &gt; Free planner</t>
        </is>
      </c>
      <c r="B83" s="8">
        <f>0</f>
        <v>0</v>
      </c>
      <c r="C83" s="8">
        <f>'Model inputs'!O28*'Model inputs'!O46</f>
        <v>0</v>
      </c>
      <c r="D83" s="8">
        <f>'Model inputs'!O28*'Model inputs'!O46</f>
        <v>0</v>
      </c>
      <c r="E83" s="8">
        <f>'Model inputs'!O28*'Model inputs'!O46</f>
        <v>0</v>
      </c>
      <c r="F83" s="8">
        <f>'Model inputs'!O28*'Model inputs'!O46</f>
        <v>0</v>
      </c>
      <c r="G83" s="8">
        <f>'Model inputs'!O28*'Model inputs'!O46</f>
        <v>0</v>
      </c>
      <c r="H83" s="8">
        <f>'Model inputs'!O28*'Model inputs'!O46</f>
        <v>0</v>
      </c>
      <c r="I83" s="8">
        <f>'Model inputs'!O28*'Model inputs'!O46</f>
        <v>0</v>
      </c>
      <c r="J83" s="8">
        <f>'Model inputs'!O28*'Model inputs'!O46</f>
        <v>0</v>
      </c>
      <c r="K83" s="8">
        <f>'Model inputs'!O28*'Model inputs'!O46</f>
        <v>0</v>
      </c>
      <c r="L83" s="8">
        <f>'Model inputs'!O28*'Model inputs'!O46</f>
        <v>0</v>
      </c>
      <c r="M83" s="8">
        <f>'Model inputs'!O28*'Model inputs'!O46</f>
        <v>0</v>
      </c>
      <c r="N83" s="8">
        <f>'Model inputs'!O28*'Model inputs'!O46</f>
        <v>0</v>
      </c>
    </row>
    <row r="84" outlineLevel="1">
      <c r="A84" t="inlineStr" s="14">
        <is>
          <t xml:space="preserve">Payment processing fees &gt; Freelancer Pro</t>
        </is>
      </c>
      <c r="B84" s="8">
        <f>0</f>
        <v>0</v>
      </c>
      <c r="C84" s="8">
        <f>'Model inputs'!O29*'Model inputs'!O47</f>
        <v>0</v>
      </c>
      <c r="D84" s="8">
        <f>'Model inputs'!O29*'Model inputs'!O47</f>
        <v>0</v>
      </c>
      <c r="E84" s="8">
        <f>'Model inputs'!O29*'Model inputs'!O47</f>
        <v>0</v>
      </c>
      <c r="F84" s="8">
        <f>'Model inputs'!O29*'Model inputs'!O47</f>
        <v>0</v>
      </c>
      <c r="G84" s="8">
        <f>'Model inputs'!O29*'Model inputs'!O47</f>
        <v>0</v>
      </c>
      <c r="H84" s="8">
        <f>'Model inputs'!O29*'Model inputs'!O47</f>
        <v>0</v>
      </c>
      <c r="I84" s="8">
        <f>'Model inputs'!O29*'Model inputs'!O47</f>
        <v>0</v>
      </c>
      <c r="J84" s="8">
        <f>'Model inputs'!O29*'Model inputs'!O47</f>
        <v>0</v>
      </c>
      <c r="K84" s="8">
        <f>'Model inputs'!O29*'Model inputs'!O47</f>
        <v>0</v>
      </c>
      <c r="L84" s="8">
        <f>'Model inputs'!O29*'Model inputs'!O47</f>
        <v>0</v>
      </c>
      <c r="M84" s="8">
        <f>'Model inputs'!O29*'Model inputs'!O47</f>
        <v>0</v>
      </c>
      <c r="N84" s="8">
        <f>'Model inputs'!O29*'Model inputs'!O47</f>
        <v>0</v>
      </c>
    </row>
    <row r="85" outlineLevel="1">
      <c r="A85" t="inlineStr" s="14">
        <is>
          <t xml:space="preserve">Payment processing fees &gt; Payout Desk</t>
        </is>
      </c>
      <c r="B85" s="8">
        <f>0</f>
        <v>0</v>
      </c>
      <c r="C85" s="8">
        <f>'Model inputs'!O30*'Model inputs'!O48</f>
        <v>0</v>
      </c>
      <c r="D85" s="8">
        <f>'Model inputs'!O30*'Model inputs'!O48</f>
        <v>0</v>
      </c>
      <c r="E85" s="8">
        <f>'Model inputs'!O30*'Model inputs'!O48</f>
        <v>0</v>
      </c>
      <c r="F85" s="8">
        <f>'Model inputs'!O30*'Model inputs'!O48</f>
        <v>0</v>
      </c>
      <c r="G85" s="8">
        <f>'Model inputs'!O30*'Model inputs'!O48</f>
        <v>0</v>
      </c>
      <c r="H85" s="8">
        <f>'Model inputs'!O30*'Model inputs'!O48</f>
        <v>0</v>
      </c>
      <c r="I85" s="8">
        <f>'Model inputs'!O30*'Model inputs'!O48</f>
        <v>0</v>
      </c>
      <c r="J85" s="8">
        <f>'Model inputs'!O30*'Model inputs'!O48</f>
        <v>0</v>
      </c>
      <c r="K85" s="8">
        <f>'Model inputs'!O30*'Model inputs'!O48</f>
        <v>0</v>
      </c>
      <c r="L85" s="8">
        <f>'Model inputs'!O30*'Model inputs'!O48</f>
        <v>0</v>
      </c>
      <c r="M85" s="8">
        <f>'Model inputs'!O30*'Model inputs'!O48</f>
        <v>0</v>
      </c>
      <c r="N85" s="8">
        <f>'Model inputs'!O30*'Model inputs'!O48</f>
        <v>0</v>
      </c>
    </row>
    <row r="86">
      <c r="A86" t="inlineStr" s="13">
        <is>
          <t xml:space="preserve">Monthly plans</t>
        </is>
      </c>
      <c r="P86" s="17">
        <f>'Model inputs'!O27*'Model inputs'!O69</f>
        <v>0</v>
      </c>
    </row>
    <row r="87" outlineLevel="1">
      <c r="A87" t="inlineStr" s="14">
        <is>
          <t xml:space="preserve">Monthly plans &gt; Free planner</t>
        </is>
      </c>
      <c r="P87" s="18">
        <f>'Model inputs'!O28*'Model inputs'!O70</f>
        <v>1000</v>
      </c>
    </row>
    <row r="88" outlineLevel="1">
      <c r="A88" t="inlineStr" s="14">
        <is>
          <t xml:space="preserve">Monthly plans &gt; Freelancer Pro</t>
        </is>
      </c>
      <c r="P88" s="18">
        <f>'Model inputs'!O29*'Model inputs'!O71</f>
        <v>100</v>
      </c>
    </row>
    <row r="89" outlineLevel="1">
      <c r="A89" t="inlineStr" s="14">
        <is>
          <t xml:space="preserve">Monthly plans &gt; Payout Desk</t>
        </is>
      </c>
      <c r="P89" s="18">
        <f>'Model inputs'!O30*'Model inputs'!O72</f>
        <v>0</v>
      </c>
    </row>
    <row r="90">
      <c r="A90" t="inlineStr" s="13">
        <is>
          <t xml:space="preserve">Payment fees per unit</t>
        </is>
      </c>
      <c r="P90" s="15">
        <f>'Model inputs'!O50*'Model inputs'!O68+'Model inputs'!O58*'Model inputs'!O67</f>
        <v>0</v>
      </c>
    </row>
    <row r="91" outlineLevel="1">
      <c r="A91" t="inlineStr" s="14">
        <is>
          <t xml:space="preserve">Payment fees per unit &gt; Free planner</t>
        </is>
      </c>
      <c r="P91" s="16">
        <f>'Model inputs'!O51*'Model inputs'!O68+'Model inputs'!O59*'Model inputs'!O67</f>
        <v>0</v>
      </c>
    </row>
    <row r="92" outlineLevel="1">
      <c r="A92" t="inlineStr" s="14">
        <is>
          <t xml:space="preserve">Payment fees per unit &gt; Freelancer Pro</t>
        </is>
      </c>
      <c r="P92" s="16">
        <f>'Model inputs'!O52*'Model inputs'!O68+'Model inputs'!O60*'Model inputs'!O67</f>
        <v>0</v>
      </c>
    </row>
    <row r="93" outlineLevel="1">
      <c r="A93" t="inlineStr" s="14">
        <is>
          <t xml:space="preserve">Payment fees per unit &gt; Payout Desk</t>
        </is>
      </c>
      <c r="P93" s="16">
        <f>'Model inputs'!O53*'Model inputs'!O68+'Model inputs'!O61*'Model inputs'!O67</f>
        <v>0</v>
      </c>
    </row>
    <row r="94">
      <c r="A94" t="inlineStr" s="13">
        <is>
          <t xml:space="preserve">Inference cost per plan · Inference cost</t>
        </is>
      </c>
      <c r="P94" s="16">
        <f>'Model inputs'!O66</f>
        <v>0.0033</v>
      </c>
    </row>
    <row r="95">
      <c r="A95" t="inlineStr" s="13">
        <is>
          <t xml:space="preserve">Charges per paying unit</t>
        </is>
      </c>
      <c r="P95" s="17">
        <v>0</v>
      </c>
    </row>
    <row r="96" outlineLevel="1">
      <c r="A96" t="inlineStr" s="14">
        <is>
          <t xml:space="preserve">Charges per paying unit &gt; Free planner</t>
        </is>
      </c>
      <c r="P96" s="18">
        <f>'Model inputs'!O59</f>
        <v>0</v>
      </c>
    </row>
    <row r="97" outlineLevel="1">
      <c r="A97" t="inlineStr" s="14">
        <is>
          <t xml:space="preserve">Charges per paying unit &gt; Freelancer Pro</t>
        </is>
      </c>
      <c r="P97" s="18">
        <f>'Model inputs'!O60</f>
        <v>1</v>
      </c>
    </row>
    <row r="98" outlineLevel="1">
      <c r="A98" t="inlineStr" s="14">
        <is>
          <t xml:space="preserve">Charges per paying unit &gt; Payout Desk</t>
        </is>
      </c>
      <c r="P98" s="18">
        <f>'Model inputs'!O61</f>
        <v>0</v>
      </c>
    </row>
    <row r="99">
      <c r="A99" t="inlineStr" s="13">
        <is>
          <t xml:space="preserve">Payment fee per charge · Payment fees per unit · Payment processing fees</t>
        </is>
      </c>
      <c r="P99" s="8">
        <f>'Model inputs'!O67</f>
        <v>0</v>
      </c>
    </row>
    <row r="100">
      <c r="A100" t="inlineStr" s="13">
        <is>
          <t xml:space="preserve">Payment processing rate · Payment fees per unit · Payment processing fees</t>
        </is>
      </c>
      <c r="P100" s="19">
        <f>'Model inputs'!O68</f>
        <v>0</v>
      </c>
    </row>
    <row r="101">
      <c r="A101" t="inlineStr" s="13">
        <is>
          <t xml:space="preserve">Plans per paying unit</t>
        </is>
      </c>
      <c r="P101" s="17">
        <v>0</v>
      </c>
    </row>
    <row r="102" outlineLevel="1">
      <c r="A102" t="inlineStr" s="14">
        <is>
          <t xml:space="preserve">Plans per paying unit &gt; Free planner</t>
        </is>
      </c>
      <c r="P102" s="18">
        <f>'Model inputs'!O70</f>
        <v>1</v>
      </c>
    </row>
    <row r="103" outlineLevel="1">
      <c r="A103" t="inlineStr" s="14">
        <is>
          <t xml:space="preserve">Plans per paying unit &gt; Freelancer Pro</t>
        </is>
      </c>
      <c r="P103" s="18">
        <f>'Model inputs'!O71</f>
        <v>4</v>
      </c>
    </row>
    <row r="104" outlineLevel="1">
      <c r="A104" t="inlineStr" s="14">
        <is>
          <t xml:space="preserve">Plans per paying unit &gt; Payout Desk</t>
        </is>
      </c>
      <c r="P104" s="18">
        <f>'Model inputs'!O72</f>
        <v>1</v>
      </c>
    </row>
    <row r="106">
      <c r="A106" t="inlineStr" s="12">
        <is>
          <t xml:space="preserve">Dimensions</t>
        </is>
      </c>
    </row>
    <row r="107">
      <c r="A107" t="inlineStr" s="13">
        <is>
          <t xml:space="preserve">Plan</t>
        </is>
      </c>
      <c r="B107" t="inlineStr" s="20">
        <is>
          <t xml:space="preserve">Free planner</t>
        </is>
      </c>
      <c r="C107" t="inlineStr" s="20">
        <is>
          <t xml:space="preserve">Freelancer Pro</t>
        </is>
      </c>
      <c r="D107" t="inlineStr" s="20">
        <is>
          <t xml:space="preserve">Payout Desk</t>
        </is>
      </c>
    </row>
  </sheetData>
  <mergeCells count="2">
    <mergeCell ref="A1:P1"/>
    <mergeCell ref="A2:P2"/>
  </mergeCells>
</worksheet>
</file>